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o mundo\Downloads\"/>
    </mc:Choice>
  </mc:AlternateContent>
  <xr:revisionPtr revIDLastSave="0" documentId="13_ncr:1_{0F2E0464-0ED7-45FE-8F0D-E58592317B0F}" xr6:coauthVersionLast="47" xr6:coauthVersionMax="47" xr10:uidLastSave="{00000000-0000-0000-0000-000000000000}"/>
  <bookViews>
    <workbookView xWindow="-120" yWindow="-120" windowWidth="29040" windowHeight="15720" xr2:uid="{EF56F057-3CB7-4B32-9AE2-385E7EB51690}"/>
  </bookViews>
  <sheets>
    <sheet name="Planilha1" sheetId="1" r:id="rId1"/>
  </sheets>
  <definedNames>
    <definedName name="_xlnm._FilterDatabase" localSheetId="0" hidden="1">Planilha1!$A$1:$AT$1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S9" i="1" l="1"/>
  <c r="AS10" i="1"/>
  <c r="AS11" i="1"/>
  <c r="AS12" i="1"/>
  <c r="AS13" i="1"/>
  <c r="AS14" i="1"/>
  <c r="AS3" i="1"/>
  <c r="AS4" i="1"/>
  <c r="AS5" i="1"/>
  <c r="AS6" i="1"/>
  <c r="AS7" i="1"/>
  <c r="AS2" i="1"/>
  <c r="AM8" i="1"/>
  <c r="AS15" i="1" l="1"/>
  <c r="AT3" i="1"/>
  <c r="AT14" i="1"/>
  <c r="AT4" i="1"/>
  <c r="AT6" i="1"/>
  <c r="AT2" i="1"/>
  <c r="AT10" i="1"/>
  <c r="AT11" i="1"/>
  <c r="AT12" i="1"/>
  <c r="AT13" i="1"/>
  <c r="AT9" i="1"/>
  <c r="AT5" i="1"/>
  <c r="AT7" i="1"/>
  <c r="AT8" i="1"/>
  <c r="AT15" i="1" l="1"/>
</calcChain>
</file>

<file path=xl/sharedStrings.xml><?xml version="1.0" encoding="utf-8"?>
<sst xmlns="http://schemas.openxmlformats.org/spreadsheetml/2006/main" count="230" uniqueCount="90">
  <si>
    <t>Empresa</t>
  </si>
  <si>
    <t>Código Produto</t>
  </si>
  <si>
    <t>DescriçãoProduto</t>
  </si>
  <si>
    <t>Fabricante</t>
  </si>
  <si>
    <t>NomeFornecedor</t>
  </si>
  <si>
    <t>DataUltima Entrada</t>
  </si>
  <si>
    <t>Curva</t>
  </si>
  <si>
    <t>Situacao Prod</t>
  </si>
  <si>
    <t>Situação prod - REAL</t>
  </si>
  <si>
    <t>Tipo Fornecedor</t>
  </si>
  <si>
    <t>Estoque atual</t>
  </si>
  <si>
    <t>Pendente de entrada</t>
  </si>
  <si>
    <t>Pendente de saída</t>
  </si>
  <si>
    <t>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</si>
  <si>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</si>
  <si>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</si>
  <si>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</si>
  <si>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</si>
  <si>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</si>
  <si>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</si>
  <si>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</si>
  <si>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</si>
  <si>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</si>
  <si>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</si>
  <si>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</si>
  <si>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</si>
  <si>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Média /Mês</t>
  </si>
  <si>
    <t>Média /dia</t>
  </si>
  <si>
    <t>MediaF</t>
  </si>
  <si>
    <t>MediaF /Dia</t>
  </si>
  <si>
    <t>Curva MediaF</t>
  </si>
  <si>
    <t>Vlr Custo Unit</t>
  </si>
  <si>
    <t>Vlr Perda de venda</t>
  </si>
  <si>
    <t>Cobertura (Dias)</t>
  </si>
  <si>
    <t>Status cobertura</t>
  </si>
  <si>
    <t>Estoque de segurança(qtd)</t>
  </si>
  <si>
    <t>Sugestão Compra</t>
  </si>
  <si>
    <t>Custo médio compra</t>
  </si>
  <si>
    <t>Necessidade</t>
  </si>
  <si>
    <t>Status Compra</t>
  </si>
  <si>
    <t>Observação</t>
  </si>
  <si>
    <t>Cobertura em dias</t>
  </si>
  <si>
    <t>PIPOCA LEMON PEPPER 40G MAIS PURA</t>
  </si>
  <si>
    <t>MAIS PURA</t>
  </si>
  <si>
    <t>NASSAU COMERCIO DE ALIMENTOS LTDA</t>
  </si>
  <si>
    <t>05/06/2026</t>
  </si>
  <si>
    <t>D</t>
  </si>
  <si>
    <t>0 - ATIVO</t>
  </si>
  <si>
    <t>PIPOCA CARAMELO E FLOR DE SAL 100G MAIS PURA</t>
  </si>
  <si>
    <t>PIPOCA CARAMELO E FLOR DE SAL 50G MAIS PURA</t>
  </si>
  <si>
    <t>PIPOCA CARAMELO E COCO 50G MAIS PURA</t>
  </si>
  <si>
    <t>PIPOCA ARTESANAL CACAU ORIGINAL 100G MAIS PURA</t>
  </si>
  <si>
    <t>PIPOCA CARAMELO E COCO 100G MAIS PURA</t>
  </si>
  <si>
    <t>06/05/2026</t>
  </si>
  <si>
    <t>PIPOCA ARTESANAL MANTEIGA DE CINEMA 40G MAIS PURA</t>
  </si>
  <si>
    <t>PIPOCA ARTESANAL MANTEIGA DE CINEMA 20G MAIS PURA</t>
  </si>
  <si>
    <t>PIPOCA ARTESANAL DOCE DE LEITE 100G MAIS PURA</t>
  </si>
  <si>
    <t>PIPOCA ARTESANAL DOCE DE LEITE 50G MAIS PURA</t>
  </si>
  <si>
    <t>PIPOCA ARTESANAL CARAMELO E FLOR DE SAL PRO 50G MAIS PURA</t>
  </si>
  <si>
    <t>PIPOCA ARTESANAL QUEIJO CHEDDAR PRO 30G MAIS PURA</t>
  </si>
  <si>
    <t>PIPOCA ARTESANAL PRO COOKIES E CREAM 50G MAIS PURA</t>
  </si>
  <si>
    <t>✦ ATENÇÃO</t>
  </si>
  <si>
    <t>Comprar</t>
  </si>
  <si>
    <t>Sem compra</t>
  </si>
  <si>
    <t>Risco de Ruptura</t>
  </si>
  <si>
    <t>⚡ PRÉ RUPTURA</t>
  </si>
  <si>
    <t>📋 MONITORAR</t>
  </si>
  <si>
    <t>Quantidade coberta</t>
  </si>
  <si>
    <t>⚠️ RUPTURA</t>
  </si>
  <si>
    <t>DISTRIBUIDOR</t>
  </si>
  <si>
    <t>235,84</t>
  </si>
  <si>
    <t>AA</t>
  </si>
  <si>
    <t>1167,07</t>
  </si>
  <si>
    <t>329,38</t>
  </si>
  <si>
    <t>86,38</t>
  </si>
  <si>
    <t>A</t>
  </si>
  <si>
    <t>323,08</t>
  </si>
  <si>
    <t>239,03</t>
  </si>
  <si>
    <t>413,93</t>
  </si>
  <si>
    <t>154,75</t>
  </si>
  <si>
    <t>360,88</t>
  </si>
  <si>
    <t>154,56</t>
  </si>
  <si>
    <t>264,18</t>
  </si>
  <si>
    <t>176,73</t>
  </si>
  <si>
    <t>CAIXA</t>
  </si>
  <si>
    <t>Sugestão ajustada</t>
  </si>
  <si>
    <t>Valor sugestão</t>
  </si>
  <si>
    <t>TOTAL</t>
  </si>
  <si>
    <t>Item novo - compra inicial</t>
  </si>
  <si>
    <t>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</si>
</sst>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indexed="8"/>
      <name val="Tahoma"/>
      <family val="2"/>
    </font>
    <font>
      <b/>
      <sz val="11"/>
      <color indexed="8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99B4D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2" borderId="1">
      <alignment horizontal="left" vertical="center" wrapText="1"/>
    </xf>
  </cellStyleXfs>
  <cellXfs count="21">
    <xf numFmtId="0" fontId="0" fillId="0" borderId="0" xfId="0"/>
    <xf numFmtId="0" fontId="4" fillId="2" borderId="1" xfId="2" applyFont="1" applyAlignment="1">
      <alignment horizontal="center" vertical="center" wrapText="1"/>
    </xf>
    <xf numFmtId="0" fontId="5" fillId="3" borderId="0" xfId="2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17" fontId="7" fillId="4" borderId="0" xfId="0" applyNumberFormat="1" applyFont="1" applyFill="1" applyAlignment="1">
      <alignment horizontal="center" vertical="center" wrapText="1"/>
    </xf>
    <xf numFmtId="17" fontId="6" fillId="4" borderId="0" xfId="0" applyNumberFormat="1" applyFont="1" applyFill="1" applyAlignment="1">
      <alignment horizontal="center" vertical="center" wrapText="1"/>
    </xf>
    <xf numFmtId="2" fontId="5" fillId="5" borderId="0" xfId="0" applyNumberFormat="1" applyFont="1" applyFill="1" applyAlignment="1">
      <alignment horizontal="center" vertical="center" wrapText="1"/>
    </xf>
    <xf numFmtId="2" fontId="6" fillId="6" borderId="0" xfId="0" applyNumberFormat="1" applyFont="1" applyFill="1" applyAlignment="1">
      <alignment horizontal="center" vertical="center" wrapText="1"/>
    </xf>
    <xf numFmtId="44" fontId="6" fillId="4" borderId="0" xfId="1" applyFont="1" applyFill="1" applyAlignment="1">
      <alignment horizontal="center" vertical="center" wrapText="1"/>
    </xf>
    <xf numFmtId="44" fontId="5" fillId="7" borderId="0" xfId="1" applyFont="1" applyFill="1" applyAlignment="1">
      <alignment horizontal="center" vertical="center" wrapText="1"/>
    </xf>
    <xf numFmtId="1" fontId="6" fillId="4" borderId="0" xfId="0" applyNumberFormat="1" applyFont="1" applyFill="1" applyAlignment="1">
      <alignment horizontal="center" vertical="center" wrapText="1"/>
    </xf>
    <xf numFmtId="2" fontId="6" fillId="4" borderId="0" xfId="0" applyNumberFormat="1" applyFont="1" applyFill="1" applyAlignment="1">
      <alignment horizontal="center" vertical="center" wrapText="1"/>
    </xf>
    <xf numFmtId="1" fontId="5" fillId="8" borderId="0" xfId="0" applyNumberFormat="1" applyFont="1" applyFill="1" applyAlignment="1">
      <alignment horizontal="center" vertical="center" wrapText="1"/>
    </xf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44" fontId="0" fillId="0" borderId="0" xfId="1" applyFont="1"/>
    <xf numFmtId="1" fontId="0" fillId="0" borderId="0" xfId="0" applyNumberFormat="1"/>
    <xf numFmtId="44" fontId="0" fillId="0" borderId="0" xfId="0" applyNumberFormat="1"/>
    <xf numFmtId="44" fontId="2" fillId="0" borderId="0" xfId="0" applyNumberFormat="1" applyFont="1"/>
  </cellXfs>
  <cellStyles count="3">
    <cellStyle name="dimension title" xfId="2" xr:uid="{5AA0EE04-00A3-41F1-97A6-235D97BB3ED3}"/>
    <cellStyle name="Moeda" xfId="1" builtinId="4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95A6-9630-4DF3-B00A-62FB347A8781}">
  <dimension ref="A1:AU15"/>
  <sheetViews>
    <sheetView tabSelected="1" workbookViewId="0">
      <pane xSplit="11" topLeftCell="AJ1" activePane="topRight" state="frozen"/>
      <selection pane="topRight" activeCell="AT2" sqref="AT2"/>
    </sheetView>
  </sheetViews>
  <sheetFormatPr defaultRowHeight="15" x14ac:dyDescent="0.25"/>
  <cols>
    <col min="3" max="3" width="59.5703125" bestFit="1" customWidth="1"/>
    <col min="39" max="39" width="12.7109375" bestFit="1" customWidth="1"/>
    <col min="46" max="46" width="13.28515625" bestFit="1" customWidth="1"/>
    <col min="47" max="47" width="24.42578125" bestFit="1" customWidth="1"/>
  </cols>
  <sheetData>
    <row r="1" spans="1:47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13</v>
      </c>
      <c r="AB1" s="6" t="s">
        <v>26</v>
      </c>
      <c r="AC1" s="6" t="s">
        <v>27</v>
      </c>
      <c r="AD1" s="7" t="s">
        <v>28</v>
      </c>
      <c r="AE1" s="7" t="s">
        <v>29</v>
      </c>
      <c r="AF1" s="7" t="s">
        <v>30</v>
      </c>
      <c r="AG1" s="8" t="s">
        <v>31</v>
      </c>
      <c r="AH1" s="9" t="s">
        <v>32</v>
      </c>
      <c r="AI1" s="10" t="s">
        <v>33</v>
      </c>
      <c r="AJ1" s="10" t="s">
        <v>34</v>
      </c>
      <c r="AK1" s="11" t="s">
        <v>35</v>
      </c>
      <c r="AL1" s="12" t="s">
        <v>36</v>
      </c>
      <c r="AM1" s="8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84</v>
      </c>
      <c r="AS1" s="5" t="s">
        <v>85</v>
      </c>
      <c r="AT1" s="5" t="s">
        <v>86</v>
      </c>
      <c r="AU1" s="5" t="s">
        <v>89</v>
      </c>
    </row>
    <row r="2" spans="1:47" x14ac:dyDescent="0.25">
      <c r="A2">
        <v>99</v>
      </c>
      <c r="B2">
        <v>43237</v>
      </c>
      <c r="C2" t="s">
        <v>51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47</v>
      </c>
      <c r="J2" t="s">
        <v>69</v>
      </c>
      <c r="K2" s="13">
        <v>172</v>
      </c>
      <c r="L2" s="13">
        <v>0</v>
      </c>
      <c r="M2" s="13">
        <v>6</v>
      </c>
      <c r="N2" s="13">
        <v>166</v>
      </c>
      <c r="O2">
        <v>47</v>
      </c>
      <c r="P2">
        <v>257</v>
      </c>
      <c r="Q2">
        <v>250</v>
      </c>
      <c r="R2">
        <v>326</v>
      </c>
      <c r="S2">
        <v>324</v>
      </c>
      <c r="T2">
        <v>248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13">
        <v>1452</v>
      </c>
      <c r="AB2" s="14">
        <v>242</v>
      </c>
      <c r="AC2" s="15">
        <v>8.0666666666666664</v>
      </c>
      <c r="AD2" s="15" t="s">
        <v>76</v>
      </c>
      <c r="AE2" s="15">
        <v>10.769333333333332</v>
      </c>
      <c r="AF2" s="16" t="s">
        <v>71</v>
      </c>
      <c r="AG2" s="17">
        <v>5.5</v>
      </c>
      <c r="AH2" s="17">
        <v>0</v>
      </c>
      <c r="AI2" s="18">
        <v>15.414138912962736</v>
      </c>
      <c r="AJ2" s="18" t="s">
        <v>61</v>
      </c>
      <c r="AK2" s="15">
        <v>107.69333333333333</v>
      </c>
      <c r="AL2" s="15">
        <v>318.61999999999995</v>
      </c>
      <c r="AM2" s="17">
        <v>1752.4099999999996</v>
      </c>
      <c r="AN2" t="s">
        <v>62</v>
      </c>
      <c r="AO2" t="s">
        <v>63</v>
      </c>
      <c r="AP2" t="s">
        <v>64</v>
      </c>
      <c r="AQ2" s="15">
        <v>45</v>
      </c>
      <c r="AR2">
        <v>30</v>
      </c>
      <c r="AS2">
        <f>_xlfn.CEILING.MATH(AL2,AR2)</f>
        <v>330</v>
      </c>
      <c r="AT2" s="19">
        <f>AS2*AG2</f>
        <v>1815</v>
      </c>
    </row>
    <row r="3" spans="1:47" x14ac:dyDescent="0.25">
      <c r="A3">
        <v>99</v>
      </c>
      <c r="B3">
        <v>59031</v>
      </c>
      <c r="C3" t="s">
        <v>58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47</v>
      </c>
      <c r="J3" t="s">
        <v>69</v>
      </c>
      <c r="K3" s="13">
        <v>187</v>
      </c>
      <c r="L3" s="13">
        <v>0</v>
      </c>
      <c r="M3" s="13">
        <v>0</v>
      </c>
      <c r="N3" s="13">
        <v>187</v>
      </c>
      <c r="O3">
        <v>52</v>
      </c>
      <c r="P3">
        <v>159</v>
      </c>
      <c r="Q3">
        <v>231</v>
      </c>
      <c r="R3">
        <v>161</v>
      </c>
      <c r="S3">
        <v>251</v>
      </c>
      <c r="T3">
        <v>219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13">
        <v>1073</v>
      </c>
      <c r="AB3" s="14">
        <v>178.83333333333334</v>
      </c>
      <c r="AC3" s="15">
        <v>5.9611111111111112</v>
      </c>
      <c r="AD3" s="15" t="s">
        <v>82</v>
      </c>
      <c r="AE3" s="15">
        <v>8.8060000000000009</v>
      </c>
      <c r="AF3" s="16" t="s">
        <v>71</v>
      </c>
      <c r="AG3" s="17">
        <v>5.5</v>
      </c>
      <c r="AH3" s="17">
        <v>0</v>
      </c>
      <c r="AI3" s="18">
        <v>21.235521235521233</v>
      </c>
      <c r="AJ3" s="18" t="s">
        <v>61</v>
      </c>
      <c r="AK3" s="15">
        <v>88.06</v>
      </c>
      <c r="AL3" s="15">
        <v>209.27000000000004</v>
      </c>
      <c r="AM3" s="17">
        <v>1150.9850000000001</v>
      </c>
      <c r="AN3" t="s">
        <v>62</v>
      </c>
      <c r="AO3" t="s">
        <v>63</v>
      </c>
      <c r="AP3" t="s">
        <v>64</v>
      </c>
      <c r="AQ3" s="15">
        <v>45</v>
      </c>
      <c r="AR3">
        <v>40</v>
      </c>
      <c r="AS3">
        <f t="shared" ref="AS3:AS14" si="0">_xlfn.CEILING.MATH(AL3,AR3)</f>
        <v>240</v>
      </c>
      <c r="AT3" s="19">
        <f t="shared" ref="AT3:AT7" si="1">AS3*AG3</f>
        <v>1320</v>
      </c>
    </row>
    <row r="4" spans="1:47" x14ac:dyDescent="0.25">
      <c r="A4">
        <v>99</v>
      </c>
      <c r="B4">
        <v>55076</v>
      </c>
      <c r="C4" t="s">
        <v>56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47</v>
      </c>
      <c r="J4" t="s">
        <v>69</v>
      </c>
      <c r="K4" s="13">
        <v>133</v>
      </c>
      <c r="L4" s="13">
        <v>0</v>
      </c>
      <c r="M4" s="13">
        <v>6</v>
      </c>
      <c r="N4" s="13">
        <v>127</v>
      </c>
      <c r="O4">
        <v>267</v>
      </c>
      <c r="P4">
        <v>340</v>
      </c>
      <c r="Q4">
        <v>310</v>
      </c>
      <c r="R4">
        <v>331</v>
      </c>
      <c r="S4">
        <v>345</v>
      </c>
      <c r="T4">
        <v>251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s="13">
        <v>1844</v>
      </c>
      <c r="AB4" s="14">
        <v>307.33333333333331</v>
      </c>
      <c r="AC4" s="15">
        <v>10.244444444444444</v>
      </c>
      <c r="AD4" s="15" t="s">
        <v>80</v>
      </c>
      <c r="AE4" s="15">
        <v>12.029333333333334</v>
      </c>
      <c r="AF4" s="16" t="s">
        <v>71</v>
      </c>
      <c r="AG4" s="17">
        <v>5.5</v>
      </c>
      <c r="AH4" s="17">
        <v>0</v>
      </c>
      <c r="AI4" s="18">
        <v>10.557526047439591</v>
      </c>
      <c r="AJ4" s="18" t="s">
        <v>65</v>
      </c>
      <c r="AK4" s="15">
        <v>120.29333333333334</v>
      </c>
      <c r="AL4" s="15">
        <v>414.32000000000005</v>
      </c>
      <c r="AM4" s="17">
        <v>2278.7600000000002</v>
      </c>
      <c r="AN4" t="s">
        <v>62</v>
      </c>
      <c r="AO4" t="s">
        <v>63</v>
      </c>
      <c r="AP4" t="s">
        <v>64</v>
      </c>
      <c r="AQ4" s="15">
        <v>45</v>
      </c>
      <c r="AR4">
        <v>30</v>
      </c>
      <c r="AS4">
        <f t="shared" si="0"/>
        <v>420</v>
      </c>
      <c r="AT4" s="19">
        <f t="shared" si="1"/>
        <v>2310</v>
      </c>
    </row>
    <row r="5" spans="1:47" x14ac:dyDescent="0.25">
      <c r="A5">
        <v>99</v>
      </c>
      <c r="B5">
        <v>55077</v>
      </c>
      <c r="C5" t="s">
        <v>57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47</v>
      </c>
      <c r="J5" t="s">
        <v>69</v>
      </c>
      <c r="K5" s="13">
        <v>179</v>
      </c>
      <c r="L5" s="13">
        <v>0</v>
      </c>
      <c r="M5" s="13">
        <v>0</v>
      </c>
      <c r="N5" s="13">
        <v>179</v>
      </c>
      <c r="O5">
        <v>84</v>
      </c>
      <c r="P5">
        <v>168</v>
      </c>
      <c r="Q5">
        <v>234</v>
      </c>
      <c r="R5">
        <v>163</v>
      </c>
      <c r="S5">
        <v>138</v>
      </c>
      <c r="T5">
        <v>95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s="13">
        <v>882</v>
      </c>
      <c r="AB5" s="14">
        <v>147</v>
      </c>
      <c r="AC5" s="15">
        <v>4.9000000000000004</v>
      </c>
      <c r="AD5" s="15" t="s">
        <v>81</v>
      </c>
      <c r="AE5" s="15">
        <v>5.1520000000000001</v>
      </c>
      <c r="AF5" s="16" t="s">
        <v>75</v>
      </c>
      <c r="AG5" s="17">
        <v>3.4</v>
      </c>
      <c r="AH5" s="17">
        <v>0</v>
      </c>
      <c r="AI5" s="18">
        <v>34.743788819875775</v>
      </c>
      <c r="AJ5" s="18" t="s">
        <v>66</v>
      </c>
      <c r="AK5" s="15">
        <v>51.52</v>
      </c>
      <c r="AL5" s="15">
        <v>52.84</v>
      </c>
      <c r="AM5" s="17">
        <v>179.65600000000001</v>
      </c>
      <c r="AN5" t="s">
        <v>62</v>
      </c>
      <c r="AO5" t="s">
        <v>63</v>
      </c>
      <c r="AP5" t="s">
        <v>64</v>
      </c>
      <c r="AQ5" s="15">
        <v>45</v>
      </c>
      <c r="AR5">
        <v>30</v>
      </c>
      <c r="AS5">
        <f t="shared" si="0"/>
        <v>60</v>
      </c>
      <c r="AT5" s="19">
        <f t="shared" si="1"/>
        <v>204</v>
      </c>
    </row>
    <row r="6" spans="1:47" x14ac:dyDescent="0.25">
      <c r="A6">
        <v>99</v>
      </c>
      <c r="B6">
        <v>51860</v>
      </c>
      <c r="C6" t="s">
        <v>55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47</v>
      </c>
      <c r="J6" t="s">
        <v>69</v>
      </c>
      <c r="K6" s="13">
        <v>165</v>
      </c>
      <c r="L6" s="13">
        <v>0</v>
      </c>
      <c r="M6" s="13">
        <v>0</v>
      </c>
      <c r="N6" s="13">
        <v>165</v>
      </c>
      <c r="O6">
        <v>22</v>
      </c>
      <c r="P6">
        <v>123</v>
      </c>
      <c r="Q6">
        <v>190</v>
      </c>
      <c r="R6">
        <v>92</v>
      </c>
      <c r="S6">
        <v>179</v>
      </c>
      <c r="T6">
        <v>76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s="13">
        <v>682</v>
      </c>
      <c r="AB6" s="14">
        <v>113.66666666666667</v>
      </c>
      <c r="AC6" s="15">
        <v>3.7888888888888892</v>
      </c>
      <c r="AD6" s="15" t="s">
        <v>79</v>
      </c>
      <c r="AE6" s="15">
        <v>5.1583333333333332</v>
      </c>
      <c r="AF6" s="16" t="s">
        <v>75</v>
      </c>
      <c r="AG6" s="17">
        <v>2.9</v>
      </c>
      <c r="AH6" s="17">
        <v>0</v>
      </c>
      <c r="AI6" s="18">
        <v>31.987075928917609</v>
      </c>
      <c r="AJ6" s="18" t="s">
        <v>66</v>
      </c>
      <c r="AK6" s="15">
        <v>51.583333333333329</v>
      </c>
      <c r="AL6" s="15">
        <v>67.125</v>
      </c>
      <c r="AM6" s="17">
        <v>194.66249999999999</v>
      </c>
      <c r="AN6" t="s">
        <v>62</v>
      </c>
      <c r="AO6" t="s">
        <v>63</v>
      </c>
      <c r="AP6" t="s">
        <v>64</v>
      </c>
      <c r="AQ6" s="15">
        <v>45</v>
      </c>
      <c r="AR6">
        <v>30</v>
      </c>
      <c r="AS6">
        <f t="shared" si="0"/>
        <v>90</v>
      </c>
      <c r="AT6" s="19">
        <f t="shared" si="1"/>
        <v>261</v>
      </c>
    </row>
    <row r="7" spans="1:47" x14ac:dyDescent="0.25">
      <c r="A7">
        <v>99</v>
      </c>
      <c r="B7">
        <v>51858</v>
      </c>
      <c r="C7" t="s">
        <v>54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47</v>
      </c>
      <c r="J7" t="s">
        <v>69</v>
      </c>
      <c r="K7" s="13">
        <v>292</v>
      </c>
      <c r="L7" s="13">
        <v>0</v>
      </c>
      <c r="M7" s="13">
        <v>6</v>
      </c>
      <c r="N7" s="13">
        <v>286</v>
      </c>
      <c r="O7">
        <v>217</v>
      </c>
      <c r="P7">
        <v>505</v>
      </c>
      <c r="Q7">
        <v>416</v>
      </c>
      <c r="R7">
        <v>364</v>
      </c>
      <c r="S7">
        <v>460</v>
      </c>
      <c r="T7">
        <v>285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s="13">
        <v>2247</v>
      </c>
      <c r="AB7" s="14">
        <v>374.5</v>
      </c>
      <c r="AC7" s="15">
        <v>12.483333333333333</v>
      </c>
      <c r="AD7" s="15" t="s">
        <v>78</v>
      </c>
      <c r="AE7" s="15">
        <v>13.797666666666666</v>
      </c>
      <c r="AF7" s="16" t="s">
        <v>71</v>
      </c>
      <c r="AG7" s="17">
        <v>4.5</v>
      </c>
      <c r="AH7" s="17">
        <v>0</v>
      </c>
      <c r="AI7" s="18">
        <v>20.728142439542918</v>
      </c>
      <c r="AJ7" s="18" t="s">
        <v>61</v>
      </c>
      <c r="AK7" s="15">
        <v>137.97666666666666</v>
      </c>
      <c r="AL7" s="15">
        <v>334.89499999999998</v>
      </c>
      <c r="AM7" s="17">
        <v>1507.0274999999999</v>
      </c>
      <c r="AN7" t="s">
        <v>62</v>
      </c>
      <c r="AO7" t="s">
        <v>63</v>
      </c>
      <c r="AP7" t="s">
        <v>64</v>
      </c>
      <c r="AQ7" s="15">
        <v>45</v>
      </c>
      <c r="AR7">
        <v>30</v>
      </c>
      <c r="AS7">
        <f t="shared" si="0"/>
        <v>360</v>
      </c>
      <c r="AT7" s="19">
        <f t="shared" si="1"/>
        <v>1620</v>
      </c>
    </row>
    <row r="8" spans="1:47" x14ac:dyDescent="0.25">
      <c r="A8">
        <v>99</v>
      </c>
      <c r="B8">
        <v>61949</v>
      </c>
      <c r="C8" t="s">
        <v>60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47</v>
      </c>
      <c r="J8" t="s">
        <v>69</v>
      </c>
      <c r="K8" s="13">
        <v>0</v>
      </c>
      <c r="L8" s="13">
        <v>0</v>
      </c>
      <c r="M8" s="13">
        <v>0</v>
      </c>
      <c r="N8" s="13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s="13">
        <v>0</v>
      </c>
      <c r="AB8" s="14">
        <v>0</v>
      </c>
      <c r="AC8" s="15">
        <v>0</v>
      </c>
      <c r="AD8" s="15" t="e">
        <v>#N/A</v>
      </c>
      <c r="AE8" s="15">
        <v>0</v>
      </c>
      <c r="AF8" s="16" t="s">
        <v>46</v>
      </c>
      <c r="AG8" s="17">
        <v>5.5</v>
      </c>
      <c r="AH8" s="17">
        <v>0</v>
      </c>
      <c r="AI8" s="18">
        <v>0</v>
      </c>
      <c r="AJ8" s="18" t="s">
        <v>68</v>
      </c>
      <c r="AK8" s="15">
        <v>0</v>
      </c>
      <c r="AL8" s="15">
        <v>300</v>
      </c>
      <c r="AM8" s="17">
        <f>AL8*AG8</f>
        <v>1650</v>
      </c>
      <c r="AN8" t="s">
        <v>62</v>
      </c>
      <c r="AO8" t="s">
        <v>63</v>
      </c>
      <c r="AP8" t="s">
        <v>67</v>
      </c>
      <c r="AQ8" s="15">
        <v>0</v>
      </c>
      <c r="AR8">
        <v>30</v>
      </c>
      <c r="AS8">
        <v>300</v>
      </c>
      <c r="AT8" s="19">
        <f>AS8*AG8</f>
        <v>1650</v>
      </c>
      <c r="AU8" t="s">
        <v>88</v>
      </c>
    </row>
    <row r="9" spans="1:47" x14ac:dyDescent="0.25">
      <c r="A9">
        <v>99</v>
      </c>
      <c r="B9">
        <v>59032</v>
      </c>
      <c r="C9" t="s">
        <v>59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47</v>
      </c>
      <c r="J9" t="s">
        <v>69</v>
      </c>
      <c r="K9" s="13">
        <v>234</v>
      </c>
      <c r="L9" s="13">
        <v>0</v>
      </c>
      <c r="M9" s="13">
        <v>4</v>
      </c>
      <c r="N9" s="13">
        <v>230</v>
      </c>
      <c r="O9">
        <v>49</v>
      </c>
      <c r="P9">
        <v>191</v>
      </c>
      <c r="Q9">
        <v>192</v>
      </c>
      <c r="R9">
        <v>146</v>
      </c>
      <c r="S9">
        <v>180</v>
      </c>
      <c r="T9">
        <v>113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13">
        <v>871</v>
      </c>
      <c r="AB9" s="14">
        <v>145.16666666666666</v>
      </c>
      <c r="AC9" s="15">
        <v>4.8388888888888886</v>
      </c>
      <c r="AD9" s="15" t="s">
        <v>83</v>
      </c>
      <c r="AE9" s="15">
        <v>5.891</v>
      </c>
      <c r="AF9" s="16" t="s">
        <v>71</v>
      </c>
      <c r="AG9" s="17">
        <v>5.5</v>
      </c>
      <c r="AH9" s="17">
        <v>0</v>
      </c>
      <c r="AI9" s="18">
        <v>39.042607367170262</v>
      </c>
      <c r="AJ9" s="18" t="s">
        <v>66</v>
      </c>
      <c r="AK9" s="15">
        <v>58.91</v>
      </c>
      <c r="AL9" s="15">
        <v>35.095000000000027</v>
      </c>
      <c r="AM9" s="17">
        <v>193.02250000000015</v>
      </c>
      <c r="AN9" t="s">
        <v>62</v>
      </c>
      <c r="AO9" t="s">
        <v>63</v>
      </c>
      <c r="AP9" t="s">
        <v>64</v>
      </c>
      <c r="AQ9" s="15">
        <v>45.000000000000007</v>
      </c>
      <c r="AR9">
        <v>30</v>
      </c>
      <c r="AS9">
        <f t="shared" si="0"/>
        <v>60</v>
      </c>
      <c r="AT9" s="19">
        <f>AS9*AG9</f>
        <v>330</v>
      </c>
    </row>
    <row r="10" spans="1:47" x14ac:dyDescent="0.25">
      <c r="A10">
        <v>99</v>
      </c>
      <c r="B10">
        <v>43244</v>
      </c>
      <c r="C10" t="s">
        <v>52</v>
      </c>
      <c r="D10" t="s">
        <v>43</v>
      </c>
      <c r="E10" t="s">
        <v>44</v>
      </c>
      <c r="F10" t="s">
        <v>53</v>
      </c>
      <c r="G10" t="s">
        <v>46</v>
      </c>
      <c r="H10" t="s">
        <v>47</v>
      </c>
      <c r="I10" t="s">
        <v>47</v>
      </c>
      <c r="J10" t="s">
        <v>69</v>
      </c>
      <c r="K10" s="13">
        <v>172</v>
      </c>
      <c r="L10" s="13">
        <v>0</v>
      </c>
      <c r="M10" s="13">
        <v>4</v>
      </c>
      <c r="N10" s="13">
        <v>168</v>
      </c>
      <c r="O10">
        <v>231</v>
      </c>
      <c r="P10">
        <v>117</v>
      </c>
      <c r="Q10">
        <v>321</v>
      </c>
      <c r="R10">
        <v>164</v>
      </c>
      <c r="S10">
        <v>210</v>
      </c>
      <c r="T10">
        <v>156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s="13">
        <v>1199</v>
      </c>
      <c r="AB10" s="14">
        <v>199.83333333333334</v>
      </c>
      <c r="AC10" s="15">
        <v>6.6611111111111114</v>
      </c>
      <c r="AD10" s="15" t="s">
        <v>77</v>
      </c>
      <c r="AE10" s="15">
        <v>7.9676666666666671</v>
      </c>
      <c r="AF10" s="16" t="s">
        <v>71</v>
      </c>
      <c r="AG10" s="17">
        <v>5.5</v>
      </c>
      <c r="AH10" s="17">
        <v>0</v>
      </c>
      <c r="AI10" s="18">
        <v>21.085219428523615</v>
      </c>
      <c r="AJ10" s="18" t="s">
        <v>61</v>
      </c>
      <c r="AK10" s="15">
        <v>79.676666666666677</v>
      </c>
      <c r="AL10" s="15">
        <v>190.54500000000002</v>
      </c>
      <c r="AM10" s="17">
        <v>1047.9975000000002</v>
      </c>
      <c r="AN10" t="s">
        <v>62</v>
      </c>
      <c r="AO10" t="s">
        <v>63</v>
      </c>
      <c r="AP10" t="s">
        <v>64</v>
      </c>
      <c r="AQ10" s="15">
        <v>45</v>
      </c>
      <c r="AR10">
        <v>40</v>
      </c>
      <c r="AS10">
        <f t="shared" si="0"/>
        <v>200</v>
      </c>
      <c r="AT10" s="19">
        <f t="shared" ref="AT10:AT14" si="2">AS10*AG10</f>
        <v>1100</v>
      </c>
    </row>
    <row r="11" spans="1:47" x14ac:dyDescent="0.25">
      <c r="A11">
        <v>99</v>
      </c>
      <c r="B11">
        <v>43184</v>
      </c>
      <c r="C11" t="s">
        <v>50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47</v>
      </c>
      <c r="J11" t="s">
        <v>69</v>
      </c>
      <c r="K11" s="13">
        <v>114</v>
      </c>
      <c r="L11" s="13">
        <v>0</v>
      </c>
      <c r="M11" s="13">
        <v>6</v>
      </c>
      <c r="N11" s="13">
        <v>108</v>
      </c>
      <c r="O11">
        <v>47</v>
      </c>
      <c r="P11">
        <v>63</v>
      </c>
      <c r="Q11">
        <v>92</v>
      </c>
      <c r="R11">
        <v>51</v>
      </c>
      <c r="S11">
        <v>63</v>
      </c>
      <c r="T11">
        <v>63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 s="13">
        <v>379</v>
      </c>
      <c r="AB11" s="14">
        <v>63.166666666666664</v>
      </c>
      <c r="AC11" s="15">
        <v>2.1055555555555556</v>
      </c>
      <c r="AD11" s="15" t="s">
        <v>74</v>
      </c>
      <c r="AE11" s="15">
        <v>2.8793333333333333</v>
      </c>
      <c r="AF11" s="16" t="s">
        <v>75</v>
      </c>
      <c r="AG11" s="17">
        <v>3.4</v>
      </c>
      <c r="AH11" s="17">
        <v>0</v>
      </c>
      <c r="AI11" s="18">
        <v>37.508682565408662</v>
      </c>
      <c r="AJ11" s="18" t="s">
        <v>66</v>
      </c>
      <c r="AK11" s="15">
        <v>28.793333333333333</v>
      </c>
      <c r="AL11" s="15">
        <v>21.569999999999993</v>
      </c>
      <c r="AM11" s="17">
        <v>73.33799999999998</v>
      </c>
      <c r="AN11" t="s">
        <v>62</v>
      </c>
      <c r="AO11" t="s">
        <v>63</v>
      </c>
      <c r="AP11" t="s">
        <v>64</v>
      </c>
      <c r="AQ11" s="15">
        <v>45</v>
      </c>
      <c r="AR11">
        <v>40</v>
      </c>
      <c r="AS11">
        <f t="shared" si="0"/>
        <v>40</v>
      </c>
      <c r="AT11" s="19">
        <f t="shared" si="2"/>
        <v>136</v>
      </c>
    </row>
    <row r="12" spans="1:47" x14ac:dyDescent="0.25">
      <c r="A12">
        <v>99</v>
      </c>
      <c r="B12">
        <v>43180</v>
      </c>
      <c r="C12" t="s">
        <v>48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47</v>
      </c>
      <c r="J12" t="s">
        <v>69</v>
      </c>
      <c r="K12" s="13">
        <v>571</v>
      </c>
      <c r="L12" s="13">
        <v>0</v>
      </c>
      <c r="M12" s="13">
        <v>4</v>
      </c>
      <c r="N12" s="13">
        <v>567</v>
      </c>
      <c r="O12">
        <v>479</v>
      </c>
      <c r="P12">
        <v>1161</v>
      </c>
      <c r="Q12">
        <v>1214</v>
      </c>
      <c r="R12">
        <v>926</v>
      </c>
      <c r="S12">
        <v>1103</v>
      </c>
      <c r="T12">
        <v>909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 s="13">
        <v>5792</v>
      </c>
      <c r="AB12" s="14">
        <v>965.33333333333337</v>
      </c>
      <c r="AC12" s="15">
        <v>32.177777777777777</v>
      </c>
      <c r="AD12" s="15" t="s">
        <v>72</v>
      </c>
      <c r="AE12" s="15">
        <v>38.902333333333331</v>
      </c>
      <c r="AF12" s="16" t="s">
        <v>71</v>
      </c>
      <c r="AG12" s="17">
        <v>5.5</v>
      </c>
      <c r="AH12" s="17">
        <v>0</v>
      </c>
      <c r="AI12" s="18">
        <v>14.574961227689856</v>
      </c>
      <c r="AJ12" s="18" t="s">
        <v>65</v>
      </c>
      <c r="AK12" s="15">
        <v>389.02333333333331</v>
      </c>
      <c r="AL12" s="15">
        <v>1183.6049999999998</v>
      </c>
      <c r="AM12" s="17">
        <v>6509.8274999999985</v>
      </c>
      <c r="AN12" t="s">
        <v>62</v>
      </c>
      <c r="AO12" t="s">
        <v>63</v>
      </c>
      <c r="AP12" t="s">
        <v>64</v>
      </c>
      <c r="AQ12" s="15">
        <v>45</v>
      </c>
      <c r="AR12">
        <v>40</v>
      </c>
      <c r="AS12">
        <f t="shared" si="0"/>
        <v>1200</v>
      </c>
      <c r="AT12" s="19">
        <f t="shared" si="2"/>
        <v>6600</v>
      </c>
    </row>
    <row r="13" spans="1:47" x14ac:dyDescent="0.25">
      <c r="A13">
        <v>99</v>
      </c>
      <c r="B13">
        <v>43183</v>
      </c>
      <c r="C13" t="s">
        <v>49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47</v>
      </c>
      <c r="J13" t="s">
        <v>69</v>
      </c>
      <c r="K13" s="13">
        <v>186</v>
      </c>
      <c r="L13" s="13">
        <v>0</v>
      </c>
      <c r="M13" s="13">
        <v>4</v>
      </c>
      <c r="N13" s="13">
        <v>182</v>
      </c>
      <c r="O13">
        <v>36</v>
      </c>
      <c r="P13">
        <v>331</v>
      </c>
      <c r="Q13">
        <v>294</v>
      </c>
      <c r="R13">
        <v>292</v>
      </c>
      <c r="S13">
        <v>304</v>
      </c>
      <c r="T13">
        <v>210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s="13">
        <v>1467</v>
      </c>
      <c r="AB13" s="14">
        <v>244.5</v>
      </c>
      <c r="AC13" s="15">
        <v>8.15</v>
      </c>
      <c r="AD13" s="15" t="s">
        <v>73</v>
      </c>
      <c r="AE13" s="15">
        <v>10.979333333333333</v>
      </c>
      <c r="AF13" s="16" t="s">
        <v>71</v>
      </c>
      <c r="AG13" s="17">
        <v>3.4</v>
      </c>
      <c r="AH13" s="17">
        <v>0</v>
      </c>
      <c r="AI13" s="18">
        <v>16.576598457708421</v>
      </c>
      <c r="AJ13" s="18" t="s">
        <v>61</v>
      </c>
      <c r="AK13" s="15">
        <v>109.79333333333332</v>
      </c>
      <c r="AL13" s="15">
        <v>312.06999999999994</v>
      </c>
      <c r="AM13" s="17">
        <v>1061.0379999999998</v>
      </c>
      <c r="AN13" t="s">
        <v>62</v>
      </c>
      <c r="AO13" t="s">
        <v>63</v>
      </c>
      <c r="AP13" t="s">
        <v>64</v>
      </c>
      <c r="AQ13" s="15">
        <v>44.999999999999993</v>
      </c>
      <c r="AR13">
        <v>40</v>
      </c>
      <c r="AS13">
        <f t="shared" si="0"/>
        <v>320</v>
      </c>
      <c r="AT13" s="19">
        <f t="shared" si="2"/>
        <v>1088</v>
      </c>
    </row>
    <row r="14" spans="1:47" x14ac:dyDescent="0.25">
      <c r="A14">
        <v>99</v>
      </c>
      <c r="B14">
        <v>43179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47</v>
      </c>
      <c r="J14" t="s">
        <v>69</v>
      </c>
      <c r="K14" s="13">
        <v>199</v>
      </c>
      <c r="L14" s="13">
        <v>0</v>
      </c>
      <c r="M14" s="13">
        <v>0</v>
      </c>
      <c r="N14" s="13">
        <v>199</v>
      </c>
      <c r="O14">
        <v>180</v>
      </c>
      <c r="P14">
        <v>209</v>
      </c>
      <c r="Q14">
        <v>365</v>
      </c>
      <c r="R14">
        <v>207</v>
      </c>
      <c r="S14">
        <v>274</v>
      </c>
      <c r="T14">
        <v>133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s="13">
        <v>1368</v>
      </c>
      <c r="AB14" s="14">
        <v>228</v>
      </c>
      <c r="AC14" s="15">
        <v>7.6</v>
      </c>
      <c r="AD14" s="15" t="s">
        <v>70</v>
      </c>
      <c r="AE14" s="15">
        <v>7.8613333333333335</v>
      </c>
      <c r="AF14" s="16" t="s">
        <v>71</v>
      </c>
      <c r="AG14" s="17">
        <v>4.5</v>
      </c>
      <c r="AH14" s="17">
        <v>0</v>
      </c>
      <c r="AI14" s="18">
        <v>25.313772048846676</v>
      </c>
      <c r="AJ14" s="18" t="s">
        <v>61</v>
      </c>
      <c r="AK14" s="15">
        <v>78.61333333333333</v>
      </c>
      <c r="AL14" s="15">
        <v>154.76</v>
      </c>
      <c r="AM14" s="17">
        <v>696.42</v>
      </c>
      <c r="AN14" t="s">
        <v>62</v>
      </c>
      <c r="AO14" t="s">
        <v>63</v>
      </c>
      <c r="AP14" t="s">
        <v>64</v>
      </c>
      <c r="AQ14" s="15">
        <v>45</v>
      </c>
      <c r="AR14">
        <v>40</v>
      </c>
      <c r="AS14">
        <f t="shared" si="0"/>
        <v>160</v>
      </c>
      <c r="AT14" s="19">
        <f t="shared" si="2"/>
        <v>720</v>
      </c>
    </row>
    <row r="15" spans="1:47" x14ac:dyDescent="0.25">
      <c r="AR15" s="13" t="s">
        <v>87</v>
      </c>
      <c r="AS15" s="13">
        <f>SUM(AS2:AS14)</f>
        <v>3780</v>
      </c>
      <c r="AT15" s="20">
        <f>SUM(AT2:AT14)</f>
        <v>19154</v>
      </c>
    </row>
  </sheetData>
  <autoFilter ref="A1:AT1" xr:uid="{4EA795A6-9630-4DF3-B00A-62FB347A8781}">
    <sortState xmlns:xlrd2="http://schemas.microsoft.com/office/spreadsheetml/2017/richdata2" ref="A2:AT16">
      <sortCondition ref="C1"/>
    </sortState>
  </autoFilter>
  <conditionalFormatting sqref="AJ1:AJ14">
    <cfRule type="containsText" dxfId="19" priority="18" operator="containsText" text="Atenção">
      <formula>NOT(ISERROR(SEARCH("Atenção",AJ1)))</formula>
    </cfRule>
    <cfRule type="containsText" dxfId="18" priority="19" operator="containsText" text="Excesso">
      <formula>NOT(ISERROR(SEARCH("Excesso",AJ1)))</formula>
    </cfRule>
    <cfRule type="containsText" dxfId="17" priority="20" operator="containsText" text="Adequado">
      <formula>NOT(ISERROR(SEARCH("Adequado",AJ1)))</formula>
    </cfRule>
    <cfRule type="containsText" dxfId="16" priority="21" operator="containsText" text="Monitorar">
      <formula>NOT(ISERROR(SEARCH("Monitorar",AJ1)))</formula>
    </cfRule>
    <cfRule type="containsText" dxfId="15" priority="22" operator="containsText" text="Pré Ruptura">
      <formula>NOT(ISERROR(SEARCH("Pré Ruptura",AJ1)))</formula>
    </cfRule>
    <cfRule type="containsText" dxfId="14" priority="23" operator="containsText" text="Ruptura">
      <formula>NOT(ISERROR(SEARCH("Ruptura",AJ1)))</formula>
    </cfRule>
  </conditionalFormatting>
  <conditionalFormatting sqref="AN1:AU1">
    <cfRule type="containsText" dxfId="13" priority="34" operator="containsText" text="Comprar">
      <formula>NOT(ISERROR(SEARCH("Comprar",AN1)))</formula>
    </cfRule>
  </conditionalFormatting>
  <conditionalFormatting sqref="AN2:AO14">
    <cfRule type="containsText" dxfId="12" priority="27" operator="containsText" text="Não">
      <formula>NOT(ISERROR(SEARCH("Não",AN2)))</formula>
    </cfRule>
    <cfRule type="containsText" dxfId="11" priority="28" operator="containsText" text="Comprar">
      <formula>NOT(ISERROR(SEARCH("Comprar",AN2)))</formula>
    </cfRule>
  </conditionalFormatting>
  <conditionalFormatting sqref="AN1:AU1">
    <cfRule type="containsText" dxfId="10" priority="33" operator="containsText" text="Não">
      <formula>NOT(ISERROR(SEARCH("Não",AN1)))</formula>
    </cfRule>
  </conditionalFormatting>
  <conditionalFormatting sqref="AO2:AO14">
    <cfRule type="cellIs" dxfId="9" priority="16" operator="equal">
      <formula>"Compra pendente"</formula>
    </cfRule>
    <cfRule type="cellIs" dxfId="8" priority="17" operator="equal">
      <formula>"Sem compra"</formula>
    </cfRule>
  </conditionalFormatting>
  <conditionalFormatting sqref="AP1:AP14">
    <cfRule type="cellIs" dxfId="7" priority="15" operator="equal">
      <formula>"Risco de Ruptura"</formula>
    </cfRule>
  </conditionalFormatting>
  <conditionalFormatting sqref="AP2:AP14">
    <cfRule type="cellIs" dxfId="6" priority="24" operator="equal">
      <formula>"Compra Emergencial"</formula>
    </cfRule>
    <cfRule type="cellIs" dxfId="5" priority="25" operator="equal">
      <formula>"Quantidade coberta"</formula>
    </cfRule>
    <cfRule type="cellIs" dxfId="4" priority="26" operator="equal">
      <formula>"Alto Risco de Ruptura"</formula>
    </cfRule>
  </conditionalFormatting>
  <conditionalFormatting sqref="AP1:AU1">
    <cfRule type="cellIs" dxfId="3" priority="29" operator="equal">
      <formula>"Risco de Ruptura"</formula>
    </cfRule>
    <cfRule type="cellIs" dxfId="2" priority="30" operator="equal">
      <formula>"Compra Emergencial"</formula>
    </cfRule>
    <cfRule type="cellIs" dxfId="1" priority="31" operator="equal">
      <formula>"Quantidade coberta"</formula>
    </cfRule>
    <cfRule type="cellIs" dxfId="0" priority="32" operator="equal">
      <formula>"Alto Risco de Ruptura"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 mundo</dc:creator>
  <cp:lastModifiedBy>Bio mundo</cp:lastModifiedBy>
  <dcterms:created xsi:type="dcterms:W3CDTF">2026-06-23T16:47:39Z</dcterms:created>
  <dcterms:modified xsi:type="dcterms:W3CDTF">2026-06-23T20:00:07Z</dcterms:modified>
</cp:coreProperties>
</file>