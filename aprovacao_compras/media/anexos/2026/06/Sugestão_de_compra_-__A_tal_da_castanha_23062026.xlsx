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 mundo\Downloads\"/>
    </mc:Choice>
  </mc:AlternateContent>
  <xr:revisionPtr revIDLastSave="0" documentId="13_ncr:1_{7C19A093-695D-4F04-B6ED-AC5EEF55F27B}" xr6:coauthVersionLast="47" xr6:coauthVersionMax="47" xr10:uidLastSave="{00000000-0000-0000-0000-000000000000}"/>
  <bookViews>
    <workbookView xWindow="-120" yWindow="-120" windowWidth="29040" windowHeight="15720" xr2:uid="{3F4ADD44-3824-4713-A8B4-F13242E1FDB8}"/>
  </bookViews>
  <sheets>
    <sheet name="Planilha1" sheetId="1" r:id="rId1"/>
  </sheets>
  <definedNames>
    <definedName name="_xlnm._FilterDatabase" localSheetId="0" hidden="1">Planilha1!$A$1:$AQ$6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S7" i="1" l="1"/>
  <c r="AT2" i="1"/>
  <c r="AT3" i="1"/>
  <c r="AT4" i="1"/>
  <c r="AT5" i="1"/>
  <c r="AT6" i="1"/>
  <c r="AT7" i="1" l="1"/>
</calcChain>
</file>

<file path=xl/sharedStrings.xml><?xml version="1.0" encoding="utf-8"?>
<sst xmlns="http://schemas.openxmlformats.org/spreadsheetml/2006/main" count="117" uniqueCount="72">
  <si>
    <t>Empresa</t>
  </si>
  <si>
    <t>Código Produto</t>
  </si>
  <si>
    <t>DescriçãoProduto</t>
  </si>
  <si>
    <t>Fabricante</t>
  </si>
  <si>
    <t>NomeFornecedor</t>
  </si>
  <si>
    <t>DataUltima Entrada</t>
  </si>
  <si>
    <t>Curva</t>
  </si>
  <si>
    <t>Situacao Prod</t>
  </si>
  <si>
    <t>Situação prod - REAL</t>
  </si>
  <si>
    <t>Tipo Fornecedor</t>
  </si>
  <si>
    <t>Estoque atual</t>
  </si>
  <si>
    <t>Pendente de entrada</t>
  </si>
  <si>
    <t>Pendente de saída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</si>
  <si>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</si>
  <si>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</si>
  <si>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</si>
  <si>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</si>
  <si>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</si>
  <si>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</si>
  <si>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</si>
  <si>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</si>
  <si>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</si>
  <si>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</si>
  <si>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</si>
  <si>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</si>
  <si>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</si>
  <si>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 /Mês</t>
  </si>
  <si>
    <t>Média /dia</t>
  </si>
  <si>
    <t>MediaF</t>
  </si>
  <si>
    <t>MediaF /Dia</t>
  </si>
  <si>
    <t>Curva MediaF</t>
  </si>
  <si>
    <t>Vlr Custo Unit</t>
  </si>
  <si>
    <t>Vlr Perda de venda</t>
  </si>
  <si>
    <t>Cobertura (Dias)</t>
  </si>
  <si>
    <t>Status cobertura</t>
  </si>
  <si>
    <t>Estoque de segurança(qtd)</t>
  </si>
  <si>
    <t>Sugestão Compra</t>
  </si>
  <si>
    <t>Custo médio compra</t>
  </si>
  <si>
    <t>Necessidade</t>
  </si>
  <si>
    <t>Status Compra</t>
  </si>
  <si>
    <t>Observação</t>
  </si>
  <si>
    <t>Cobertura em dias</t>
  </si>
  <si>
    <t>BEBIDA DE CASTANHA 1L A TAL DA CASTANHA</t>
  </si>
  <si>
    <t>A TAL DA CASTANHA</t>
  </si>
  <si>
    <t>CAFE BRASILEIRO ALIMENTOS LTDA</t>
  </si>
  <si>
    <t>06/05/2026</t>
  </si>
  <si>
    <t>D</t>
  </si>
  <si>
    <t>0 - ATIVO</t>
  </si>
  <si>
    <t>DISTRIBUIDOR</t>
  </si>
  <si>
    <t>33,47</t>
  </si>
  <si>
    <t>B</t>
  </si>
  <si>
    <t>⚡ PRÉ RUPTURA</t>
  </si>
  <si>
    <t>Comprar</t>
  </si>
  <si>
    <t>Sem compra</t>
  </si>
  <si>
    <t>Compra Emergencial</t>
  </si>
  <si>
    <t>C</t>
  </si>
  <si>
    <t>BEBIDA DE AMENDOA 1LT A TAL DA CASTANHA</t>
  </si>
  <si>
    <t>122,23</t>
  </si>
  <si>
    <t>A</t>
  </si>
  <si>
    <t>BEBIDA DE CASTANHA DE CAJU C/AVEIA BARISTA 1L A TAL DA CASTANHA</t>
  </si>
  <si>
    <t>34,92</t>
  </si>
  <si>
    <t>BEBIDA DE CASTANHA ORIGINAL 1L POSSIBLE</t>
  </si>
  <si>
    <t>POSSIBLE</t>
  </si>
  <si>
    <t>13,59</t>
  </si>
  <si>
    <t>✦ ATENÇÃO</t>
  </si>
  <si>
    <t>Risco de Ruptura</t>
  </si>
  <si>
    <t>BEBIDA DE CASTANHA DE CAJU E CHOCOLATE ZERO 1L A TAL DA CASTANHA</t>
  </si>
  <si>
    <t>26,83</t>
  </si>
  <si>
    <t>CAIXA</t>
  </si>
  <si>
    <t>Sugestão reajustada</t>
  </si>
  <si>
    <t>Valor de compra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</si>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</sst>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indexed="8"/>
      <name val="Tahoma"/>
      <family val="2"/>
    </font>
    <font>
      <b/>
      <sz val="11"/>
      <color indexed="8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99B4D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2" borderId="1">
      <alignment horizontal="left" vertical="center" wrapText="1"/>
    </xf>
  </cellStyleXfs>
  <cellXfs count="21">
    <xf numFmtId="0" fontId="0" fillId="0" borderId="0" xfId="0"/>
    <xf numFmtId="0" fontId="4" fillId="2" borderId="1" xfId="2" applyFont="1" applyAlignment="1">
      <alignment horizontal="center" vertical="center" wrapText="1"/>
    </xf>
    <xf numFmtId="0" fontId="5" fillId="3" borderId="0" xfId="2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7" fontId="7" fillId="4" borderId="0" xfId="0" applyNumberFormat="1" applyFont="1" applyFill="1" applyAlignment="1">
      <alignment horizontal="center" vertical="center" wrapText="1"/>
    </xf>
    <xf numFmtId="17" fontId="6" fillId="4" borderId="0" xfId="0" applyNumberFormat="1" applyFont="1" applyFill="1" applyAlignment="1">
      <alignment horizontal="center" vertical="center" wrapText="1"/>
    </xf>
    <xf numFmtId="2" fontId="5" fillId="5" borderId="0" xfId="0" applyNumberFormat="1" applyFont="1" applyFill="1" applyAlignment="1">
      <alignment horizontal="center" vertical="center" wrapText="1"/>
    </xf>
    <xf numFmtId="2" fontId="6" fillId="6" borderId="0" xfId="0" applyNumberFormat="1" applyFont="1" applyFill="1" applyAlignment="1">
      <alignment horizontal="center" vertical="center" wrapText="1"/>
    </xf>
    <xf numFmtId="44" fontId="6" fillId="4" borderId="0" xfId="1" applyFont="1" applyFill="1" applyAlignment="1">
      <alignment horizontal="center" vertical="center" wrapText="1"/>
    </xf>
    <xf numFmtId="44" fontId="5" fillId="7" borderId="0" xfId="1" applyFont="1" applyFill="1" applyAlignment="1">
      <alignment horizontal="center" vertical="center" wrapText="1"/>
    </xf>
    <xf numFmtId="1" fontId="6" fillId="4" borderId="0" xfId="0" applyNumberFormat="1" applyFont="1" applyFill="1" applyAlignment="1">
      <alignment horizontal="center" vertical="center" wrapText="1"/>
    </xf>
    <xf numFmtId="2" fontId="6" fillId="4" borderId="0" xfId="0" applyNumberFormat="1" applyFont="1" applyFill="1" applyAlignment="1">
      <alignment horizontal="center" vertical="center" wrapText="1"/>
    </xf>
    <xf numFmtId="1" fontId="5" fillId="8" borderId="0" xfId="0" applyNumberFormat="1" applyFont="1" applyFill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44" fontId="0" fillId="0" borderId="0" xfId="1" applyFont="1"/>
    <xf numFmtId="1" fontId="0" fillId="0" borderId="0" xfId="0" applyNumberFormat="1"/>
    <xf numFmtId="44" fontId="0" fillId="0" borderId="0" xfId="0" applyNumberFormat="1"/>
    <xf numFmtId="44" fontId="2" fillId="0" borderId="0" xfId="0" applyNumberFormat="1" applyFont="1"/>
  </cellXfs>
  <cellStyles count="3">
    <cellStyle name="dimension title" xfId="2" xr:uid="{B46831CE-1304-40CA-9CB7-7733888DB431}"/>
    <cellStyle name="Moeda" xfId="1" builtinId="4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98B8-DBEF-4A30-B101-6A620BBC0F0D}">
  <dimension ref="A1:AT7"/>
  <sheetViews>
    <sheetView tabSelected="1" workbookViewId="0">
      <pane xSplit="11" topLeftCell="AM1" activePane="topRight" state="frozen"/>
      <selection pane="topRight" activeCell="AT6" sqref="AT6"/>
    </sheetView>
  </sheetViews>
  <sheetFormatPr defaultRowHeight="15" x14ac:dyDescent="0.25"/>
  <cols>
    <col min="3" max="3" width="66.140625" bestFit="1" customWidth="1"/>
    <col min="33" max="33" width="9.5703125" bestFit="1" customWidth="1"/>
    <col min="34" max="34" width="10.5703125" bestFit="1" customWidth="1"/>
    <col min="36" max="36" width="16.42578125" bestFit="1" customWidth="1"/>
    <col min="39" max="39" width="12.140625" bestFit="1" customWidth="1"/>
    <col min="40" max="40" width="12.7109375" bestFit="1" customWidth="1"/>
    <col min="41" max="41" width="16.7109375" bestFit="1" customWidth="1"/>
    <col min="42" max="42" width="19.5703125" bestFit="1" customWidth="1"/>
    <col min="46" max="46" width="12.140625" bestFit="1" customWidth="1"/>
  </cols>
  <sheetData>
    <row r="1" spans="1:4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13</v>
      </c>
      <c r="AB1" s="6" t="s">
        <v>26</v>
      </c>
      <c r="AC1" s="6" t="s">
        <v>27</v>
      </c>
      <c r="AD1" s="7" t="s">
        <v>28</v>
      </c>
      <c r="AE1" s="7" t="s">
        <v>29</v>
      </c>
      <c r="AF1" s="7" t="s">
        <v>30</v>
      </c>
      <c r="AG1" s="8" t="s">
        <v>31</v>
      </c>
      <c r="AH1" s="9" t="s">
        <v>32</v>
      </c>
      <c r="AI1" s="10" t="s">
        <v>33</v>
      </c>
      <c r="AJ1" s="10" t="s">
        <v>34</v>
      </c>
      <c r="AK1" s="11" t="s">
        <v>35</v>
      </c>
      <c r="AL1" s="12" t="s">
        <v>36</v>
      </c>
      <c r="AM1" s="8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68</v>
      </c>
      <c r="AS1" s="5" t="s">
        <v>69</v>
      </c>
      <c r="AT1" s="5" t="s">
        <v>70</v>
      </c>
    </row>
    <row r="2" spans="1:46" x14ac:dyDescent="0.25">
      <c r="A2">
        <v>99</v>
      </c>
      <c r="B2">
        <v>21800</v>
      </c>
      <c r="C2" t="s">
        <v>56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47</v>
      </c>
      <c r="J2" t="s">
        <v>48</v>
      </c>
      <c r="K2" s="13">
        <v>0</v>
      </c>
      <c r="L2" s="13">
        <v>0</v>
      </c>
      <c r="M2" s="13">
        <v>6</v>
      </c>
      <c r="N2" s="13">
        <v>-6</v>
      </c>
      <c r="O2">
        <v>89</v>
      </c>
      <c r="P2">
        <v>1</v>
      </c>
      <c r="Q2">
        <v>118</v>
      </c>
      <c r="R2">
        <v>96</v>
      </c>
      <c r="S2">
        <v>133</v>
      </c>
      <c r="T2">
        <v>73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13">
        <v>510</v>
      </c>
      <c r="AB2" s="14">
        <v>85</v>
      </c>
      <c r="AC2" s="15">
        <v>2.8333333333333335</v>
      </c>
      <c r="AD2" s="15" t="s">
        <v>57</v>
      </c>
      <c r="AE2" s="15">
        <v>4.0743333333333336</v>
      </c>
      <c r="AF2" s="16" t="s">
        <v>58</v>
      </c>
      <c r="AG2" s="17">
        <v>12.0497</v>
      </c>
      <c r="AH2" s="17">
        <v>138.24179260410699</v>
      </c>
      <c r="AI2" s="18">
        <v>-1.4726335596825655</v>
      </c>
      <c r="AJ2" s="18" t="s">
        <v>51</v>
      </c>
      <c r="AK2" s="15">
        <v>40.743333333333339</v>
      </c>
      <c r="AL2" s="15">
        <v>291.20333333333338</v>
      </c>
      <c r="AM2" s="17">
        <v>3508.9128056666673</v>
      </c>
      <c r="AN2" t="s">
        <v>52</v>
      </c>
      <c r="AO2" t="s">
        <v>53</v>
      </c>
      <c r="AP2" t="s">
        <v>54</v>
      </c>
      <c r="AQ2" s="15">
        <v>70.000000000000014</v>
      </c>
      <c r="AR2">
        <v>6</v>
      </c>
      <c r="AS2">
        <v>300</v>
      </c>
      <c r="AT2" s="19">
        <f t="shared" ref="AT2:AT6" si="0">AS2*AG2</f>
        <v>3614.91</v>
      </c>
    </row>
    <row r="3" spans="1:46" x14ac:dyDescent="0.25">
      <c r="A3">
        <v>99</v>
      </c>
      <c r="B3">
        <v>864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47</v>
      </c>
      <c r="J3" t="s">
        <v>48</v>
      </c>
      <c r="K3" s="13">
        <v>1</v>
      </c>
      <c r="L3" s="13">
        <v>0</v>
      </c>
      <c r="M3" s="13">
        <v>0</v>
      </c>
      <c r="N3" s="13">
        <v>1</v>
      </c>
      <c r="O3">
        <v>1</v>
      </c>
      <c r="P3">
        <v>0</v>
      </c>
      <c r="Q3">
        <v>33</v>
      </c>
      <c r="R3">
        <v>38</v>
      </c>
      <c r="S3">
        <v>41</v>
      </c>
      <c r="T3">
        <v>20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13">
        <v>133</v>
      </c>
      <c r="AB3" s="14">
        <v>26.6</v>
      </c>
      <c r="AC3" s="15">
        <v>0.88666666666666671</v>
      </c>
      <c r="AD3" s="15" t="s">
        <v>49</v>
      </c>
      <c r="AE3" s="15">
        <v>1.1156666666666666</v>
      </c>
      <c r="AF3" s="16" t="s">
        <v>50</v>
      </c>
      <c r="AG3" s="17">
        <v>12.0496</v>
      </c>
      <c r="AH3" s="17">
        <v>109.69564146997311</v>
      </c>
      <c r="AI3" s="18">
        <v>0.8963250672243801</v>
      </c>
      <c r="AJ3" s="18" t="s">
        <v>51</v>
      </c>
      <c r="AK3" s="15">
        <v>11.156666666666666</v>
      </c>
      <c r="AL3" s="15">
        <v>77.096666666666664</v>
      </c>
      <c r="AM3" s="17">
        <v>928.9839946666666</v>
      </c>
      <c r="AN3" t="s">
        <v>52</v>
      </c>
      <c r="AO3" t="s">
        <v>53</v>
      </c>
      <c r="AP3" t="s">
        <v>54</v>
      </c>
      <c r="AQ3" s="15">
        <v>70</v>
      </c>
      <c r="AR3">
        <v>6</v>
      </c>
      <c r="AS3">
        <v>84</v>
      </c>
      <c r="AT3" s="19">
        <f t="shared" si="0"/>
        <v>1012.1664</v>
      </c>
    </row>
    <row r="4" spans="1:46" x14ac:dyDescent="0.25">
      <c r="A4">
        <v>99</v>
      </c>
      <c r="B4">
        <v>32487</v>
      </c>
      <c r="C4" t="s">
        <v>59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s="13">
        <v>5</v>
      </c>
      <c r="L4" s="13">
        <v>0</v>
      </c>
      <c r="M4" s="13">
        <v>0</v>
      </c>
      <c r="N4" s="13">
        <v>5</v>
      </c>
      <c r="O4">
        <v>53</v>
      </c>
      <c r="P4">
        <v>0</v>
      </c>
      <c r="Q4">
        <v>71</v>
      </c>
      <c r="R4">
        <v>33</v>
      </c>
      <c r="S4">
        <v>48</v>
      </c>
      <c r="T4">
        <v>11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s="13">
        <v>216</v>
      </c>
      <c r="AB4" s="14">
        <v>43.2</v>
      </c>
      <c r="AC4" s="15">
        <v>1.4400000000000002</v>
      </c>
      <c r="AD4" s="15" t="s">
        <v>60</v>
      </c>
      <c r="AE4" s="15">
        <v>1.1640000000000001</v>
      </c>
      <c r="AF4" s="16" t="s">
        <v>50</v>
      </c>
      <c r="AG4" s="17">
        <v>12.0511</v>
      </c>
      <c r="AH4" s="17">
        <v>68.745106529209622</v>
      </c>
      <c r="AI4" s="18">
        <v>4.2955326460481098</v>
      </c>
      <c r="AJ4" s="18" t="s">
        <v>51</v>
      </c>
      <c r="AK4" s="15">
        <v>11.64</v>
      </c>
      <c r="AL4" s="15">
        <v>76.48</v>
      </c>
      <c r="AM4" s="17">
        <v>921.66812800000002</v>
      </c>
      <c r="AN4" t="s">
        <v>52</v>
      </c>
      <c r="AO4" t="s">
        <v>53</v>
      </c>
      <c r="AP4" t="s">
        <v>54</v>
      </c>
      <c r="AQ4" s="15">
        <v>70</v>
      </c>
      <c r="AR4">
        <v>6</v>
      </c>
      <c r="AS4">
        <v>84</v>
      </c>
      <c r="AT4" s="19">
        <f t="shared" si="0"/>
        <v>1012.2924</v>
      </c>
    </row>
    <row r="5" spans="1:46" x14ac:dyDescent="0.25">
      <c r="A5">
        <v>99</v>
      </c>
      <c r="B5">
        <v>40660</v>
      </c>
      <c r="C5" t="s">
        <v>66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47</v>
      </c>
      <c r="J5" t="s">
        <v>48</v>
      </c>
      <c r="K5" s="13">
        <v>5</v>
      </c>
      <c r="L5" s="13">
        <v>0</v>
      </c>
      <c r="M5" s="13">
        <v>0</v>
      </c>
      <c r="N5" s="13">
        <v>5</v>
      </c>
      <c r="O5">
        <v>35</v>
      </c>
      <c r="P5">
        <v>22</v>
      </c>
      <c r="Q5">
        <v>26</v>
      </c>
      <c r="R5">
        <v>24</v>
      </c>
      <c r="S5">
        <v>33</v>
      </c>
      <c r="T5">
        <v>10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s="13">
        <v>150</v>
      </c>
      <c r="AB5" s="14">
        <v>25</v>
      </c>
      <c r="AC5" s="15">
        <v>0.83333333333333337</v>
      </c>
      <c r="AD5" s="15" t="s">
        <v>67</v>
      </c>
      <c r="AE5" s="15">
        <v>0.89433333333333331</v>
      </c>
      <c r="AF5" s="16" t="s">
        <v>55</v>
      </c>
      <c r="AG5" s="17">
        <v>12.0496</v>
      </c>
      <c r="AH5" s="17">
        <v>53.129619083115919</v>
      </c>
      <c r="AI5" s="18">
        <v>5.5907566157286617</v>
      </c>
      <c r="AJ5" s="18" t="s">
        <v>51</v>
      </c>
      <c r="AK5" s="15">
        <v>8.9433333333333334</v>
      </c>
      <c r="AL5" s="15">
        <v>44.188333333333333</v>
      </c>
      <c r="AM5" s="17">
        <v>532.4517413333333</v>
      </c>
      <c r="AN5" t="s">
        <v>52</v>
      </c>
      <c r="AO5" t="s">
        <v>53</v>
      </c>
      <c r="AP5" t="s">
        <v>54</v>
      </c>
      <c r="AQ5" s="15">
        <v>55</v>
      </c>
      <c r="AR5">
        <v>6</v>
      </c>
      <c r="AS5">
        <v>54</v>
      </c>
      <c r="AT5" s="19">
        <f t="shared" si="0"/>
        <v>650.67840000000001</v>
      </c>
    </row>
    <row r="6" spans="1:46" x14ac:dyDescent="0.25">
      <c r="A6">
        <v>99</v>
      </c>
      <c r="B6">
        <v>37903</v>
      </c>
      <c r="C6" t="s">
        <v>61</v>
      </c>
      <c r="D6" t="s">
        <v>62</v>
      </c>
      <c r="E6" t="s">
        <v>44</v>
      </c>
      <c r="F6" t="s">
        <v>45</v>
      </c>
      <c r="G6" t="s">
        <v>46</v>
      </c>
      <c r="H6" t="s">
        <v>47</v>
      </c>
      <c r="I6" t="s">
        <v>47</v>
      </c>
      <c r="J6" t="s">
        <v>48</v>
      </c>
      <c r="K6" s="13">
        <v>7</v>
      </c>
      <c r="L6" s="13">
        <v>0</v>
      </c>
      <c r="M6" s="13">
        <v>0</v>
      </c>
      <c r="N6" s="13">
        <v>7</v>
      </c>
      <c r="O6">
        <v>20</v>
      </c>
      <c r="P6">
        <v>7</v>
      </c>
      <c r="Q6">
        <v>0</v>
      </c>
      <c r="R6">
        <v>0</v>
      </c>
      <c r="S6">
        <v>14</v>
      </c>
      <c r="T6">
        <v>16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s="13">
        <v>57</v>
      </c>
      <c r="AB6" s="14">
        <v>14.25</v>
      </c>
      <c r="AC6" s="15">
        <v>0.47499999999999998</v>
      </c>
      <c r="AD6" s="15" t="s">
        <v>63</v>
      </c>
      <c r="AE6" s="15">
        <v>0.45300000000000001</v>
      </c>
      <c r="AF6" s="16" t="s">
        <v>55</v>
      </c>
      <c r="AG6" s="17">
        <v>8.0873000000000008</v>
      </c>
      <c r="AH6" s="17">
        <v>0</v>
      </c>
      <c r="AI6" s="18">
        <v>15.452538631346577</v>
      </c>
      <c r="AJ6" s="18" t="s">
        <v>64</v>
      </c>
      <c r="AK6" s="15">
        <v>4.53</v>
      </c>
      <c r="AL6" s="15">
        <v>17.915000000000003</v>
      </c>
      <c r="AM6" s="17">
        <v>144.88397950000004</v>
      </c>
      <c r="AN6" t="s">
        <v>52</v>
      </c>
      <c r="AO6" t="s">
        <v>53</v>
      </c>
      <c r="AP6" t="s">
        <v>65</v>
      </c>
      <c r="AQ6" s="15">
        <v>55.000000000000007</v>
      </c>
      <c r="AR6">
        <v>6</v>
      </c>
      <c r="AS6">
        <v>24</v>
      </c>
      <c r="AT6" s="19">
        <f t="shared" si="0"/>
        <v>194.09520000000003</v>
      </c>
    </row>
    <row r="7" spans="1:46" x14ac:dyDescent="0.25">
      <c r="AR7" s="13" t="s">
        <v>71</v>
      </c>
      <c r="AS7" s="13">
        <f>SUM(AS2:AS6)</f>
        <v>546</v>
      </c>
      <c r="AT7" s="20">
        <f>SUM(AT2:AT6)</f>
        <v>6484.1423999999997</v>
      </c>
    </row>
  </sheetData>
  <autoFilter ref="A1:AQ6" xr:uid="{424398B8-DBEF-4A30-B101-6A620BBC0F0D}">
    <sortState xmlns:xlrd2="http://schemas.microsoft.com/office/spreadsheetml/2017/richdata2" ref="A2:AQ6">
      <sortCondition ref="C1:C6"/>
    </sortState>
  </autoFilter>
  <conditionalFormatting sqref="AJ1:AJ6">
    <cfRule type="containsText" dxfId="19" priority="9" operator="containsText" text="Atenção">
      <formula>NOT(ISERROR(SEARCH("Atenção",AJ1)))</formula>
    </cfRule>
    <cfRule type="containsText" dxfId="18" priority="10" operator="containsText" text="Excesso">
      <formula>NOT(ISERROR(SEARCH("Excesso",AJ1)))</formula>
    </cfRule>
    <cfRule type="containsText" dxfId="17" priority="11" operator="containsText" text="Adequado">
      <formula>NOT(ISERROR(SEARCH("Adequado",AJ1)))</formula>
    </cfRule>
    <cfRule type="containsText" dxfId="16" priority="12" operator="containsText" text="Monitorar">
      <formula>NOT(ISERROR(SEARCH("Monitorar",AJ1)))</formula>
    </cfRule>
    <cfRule type="containsText" dxfId="15" priority="13" operator="containsText" text="Pré Ruptura">
      <formula>NOT(ISERROR(SEARCH("Pré Ruptura",AJ1)))</formula>
    </cfRule>
    <cfRule type="containsText" dxfId="14" priority="14" operator="containsText" text="Ruptura">
      <formula>NOT(ISERROR(SEARCH("Ruptura",AJ1)))</formula>
    </cfRule>
  </conditionalFormatting>
  <conditionalFormatting sqref="AN1:AT1">
    <cfRule type="containsText" dxfId="13" priority="20" operator="containsText" text="Comprar">
      <formula>NOT(ISERROR(SEARCH("Comprar",AN1)))</formula>
    </cfRule>
  </conditionalFormatting>
  <conditionalFormatting sqref="AN1:AT1">
    <cfRule type="containsText" dxfId="12" priority="19" operator="containsText" text="Não">
      <formula>NOT(ISERROR(SEARCH("Não",AN1)))</formula>
    </cfRule>
  </conditionalFormatting>
  <conditionalFormatting sqref="AP1:AP6">
    <cfRule type="cellIs" dxfId="11" priority="8" operator="equal">
      <formula>"Risco de Ruptura"</formula>
    </cfRule>
  </conditionalFormatting>
  <conditionalFormatting sqref="AP1:AT1">
    <cfRule type="cellIs" dxfId="10" priority="15" operator="equal">
      <formula>"Risco de Ruptura"</formula>
    </cfRule>
    <cfRule type="cellIs" dxfId="9" priority="16" operator="equal">
      <formula>"Compra Emergencial"</formula>
    </cfRule>
    <cfRule type="cellIs" dxfId="8" priority="17" operator="equal">
      <formula>"Quantidade coberta"</formula>
    </cfRule>
    <cfRule type="cellIs" dxfId="7" priority="18" operator="equal">
      <formula>"Alto Risco de Ruptura"</formula>
    </cfRule>
  </conditionalFormatting>
  <conditionalFormatting sqref="AN2:AO6">
    <cfRule type="containsText" dxfId="6" priority="6" operator="containsText" text="Não">
      <formula>NOT(ISERROR(SEARCH("Não",AN2)))</formula>
    </cfRule>
    <cfRule type="containsText" dxfId="5" priority="7" operator="containsText" text="Comprar">
      <formula>NOT(ISERROR(SEARCH("Comprar",AN2)))</formula>
    </cfRule>
  </conditionalFormatting>
  <conditionalFormatting sqref="AO2:AO6">
    <cfRule type="cellIs" dxfId="4" priority="1" operator="equal">
      <formula>"Compra pendente"</formula>
    </cfRule>
    <cfRule type="cellIs" dxfId="3" priority="2" operator="equal">
      <formula>"Sem compra"</formula>
    </cfRule>
  </conditionalFormatting>
  <conditionalFormatting sqref="AP2:AP6">
    <cfRule type="cellIs" dxfId="2" priority="3" operator="equal">
      <formula>"Compra Emergencial"</formula>
    </cfRule>
    <cfRule type="cellIs" dxfId="1" priority="4" operator="equal">
      <formula>"Quantidade coberta"</formula>
    </cfRule>
    <cfRule type="cellIs" dxfId="0" priority="5" operator="equal">
      <formula>"Alto Risco de Ruptura"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 mundo</dc:creator>
  <cp:lastModifiedBy>Bio mundo</cp:lastModifiedBy>
  <dcterms:created xsi:type="dcterms:W3CDTF">2026-06-23T18:31:56Z</dcterms:created>
  <dcterms:modified xsi:type="dcterms:W3CDTF">2026-06-23T19:02:13Z</dcterms:modified>
</cp:coreProperties>
</file>